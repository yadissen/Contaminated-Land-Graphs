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Coordinates &amp; GW" sheetId="1" state="visible" r:id="rId1"/>
    <sheet xmlns:r="http://schemas.openxmlformats.org/officeDocument/2006/relationships" name="Contamination Summary" sheetId="2" state="visible" r:id="rId2"/>
    <sheet xmlns:r="http://schemas.openxmlformats.org/officeDocument/2006/relationships" name="Guideline Comparison" sheetId="3" state="visible" r:id="rId3"/>
    <sheet xmlns:r="http://schemas.openxmlformats.org/officeDocument/2006/relationships" name="Strategy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3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SITE COORDINATES AND GROUNDWATER LEVELS</t>
        </is>
      </c>
    </row>
    <row r="3">
      <c r="A3" t="inlineStr">
        <is>
          <t>Use this data for:</t>
        </is>
      </c>
    </row>
    <row r="4">
      <c r="A4" t="inlineStr">
        <is>
          <t>• Creating site plan with well locations</t>
        </is>
      </c>
    </row>
    <row r="5">
      <c r="A5" t="inlineStr">
        <is>
          <t>• Groundwater contour mapping</t>
        </is>
      </c>
    </row>
    <row r="6">
      <c r="A6" t="inlineStr">
        <is>
          <t>• Identifying NAPL locations</t>
        </is>
      </c>
    </row>
    <row r="7">
      <c r="A7" t="inlineStr">
        <is>
          <t>• Calculating flow direction</t>
        </is>
      </c>
    </row>
    <row r="9">
      <c r="A9" s="2" t="inlineStr">
        <is>
          <t>Borehole</t>
        </is>
      </c>
      <c r="B9" s="2" t="inlineStr">
        <is>
          <t>NAPL level (mbgl)</t>
        </is>
      </c>
      <c r="C9" s="2" t="inlineStr">
        <is>
          <t>Water Level (mbgl)</t>
        </is>
      </c>
      <c r="D9" s="2" t="inlineStr">
        <is>
          <t>Easting</t>
        </is>
      </c>
      <c r="E9" s="2" t="inlineStr">
        <is>
          <t>Northing</t>
        </is>
      </c>
      <c r="F9" s="2" t="inlineStr">
        <is>
          <t>BH Elevation (mamsl)</t>
        </is>
      </c>
      <c r="G9" s="2" t="inlineStr">
        <is>
          <t>GW_Elevation</t>
        </is>
      </c>
      <c r="H9" s="2" t="inlineStr">
        <is>
          <t>NAPL_Thickness</t>
        </is>
      </c>
    </row>
    <row r="10">
      <c r="A10" s="3" t="inlineStr">
        <is>
          <t>S22</t>
        </is>
      </c>
      <c r="B10" s="3" t="n">
        <v/>
      </c>
      <c r="C10" s="3" t="n">
        <v>1.26</v>
      </c>
      <c r="D10" s="3" t="n">
        <v>32.789</v>
      </c>
      <c r="E10" s="3" t="n">
        <v>37.19099999999162</v>
      </c>
      <c r="F10" s="3" t="n">
        <v>38.602</v>
      </c>
      <c r="G10" s="3" t="n">
        <v>37.342</v>
      </c>
      <c r="H10" s="3" t="n">
        <v>0</v>
      </c>
    </row>
    <row r="11">
      <c r="A11" s="3" t="inlineStr">
        <is>
          <t>S23</t>
        </is>
      </c>
      <c r="B11" s="3" t="n">
        <v/>
      </c>
      <c r="C11" s="3" t="n">
        <v>2</v>
      </c>
      <c r="D11" s="3" t="n">
        <v>33.046</v>
      </c>
      <c r="E11" s="3" t="n">
        <v>26.3410000000149</v>
      </c>
      <c r="F11" s="3" t="n">
        <v>38.472</v>
      </c>
      <c r="G11" s="3" t="n">
        <v>36.472</v>
      </c>
      <c r="H11" s="3" t="n">
        <v>0</v>
      </c>
    </row>
    <row r="12">
      <c r="A12" s="3" t="inlineStr">
        <is>
          <t>S12</t>
        </is>
      </c>
      <c r="B12" s="3" t="n">
        <v/>
      </c>
      <c r="C12" s="3" t="n">
        <v>1.38</v>
      </c>
      <c r="D12" s="3" t="n">
        <v>34.038</v>
      </c>
      <c r="E12" s="3" t="n">
        <v>63.29100000002654</v>
      </c>
      <c r="F12" s="3" t="n">
        <v>38.8255</v>
      </c>
      <c r="G12" s="3" t="n">
        <v>37.4455</v>
      </c>
      <c r="H12" s="3" t="n">
        <v>0</v>
      </c>
    </row>
    <row r="13">
      <c r="A13" s="3" t="inlineStr">
        <is>
          <t>S2</t>
        </is>
      </c>
      <c r="B13" s="3" t="n">
        <v/>
      </c>
      <c r="C13" s="3" t="n">
        <v>1.13</v>
      </c>
      <c r="D13" s="3" t="n">
        <v>34.191</v>
      </c>
      <c r="E13" s="3" t="n">
        <v>93.63099999999395</v>
      </c>
      <c r="F13" s="3" t="n">
        <v>39.049</v>
      </c>
      <c r="G13" s="3" t="n">
        <v>37.919</v>
      </c>
      <c r="H13" s="3" t="n">
        <v>0</v>
      </c>
    </row>
    <row r="14">
      <c r="A14" s="3" t="inlineStr">
        <is>
          <t>S17</t>
        </is>
      </c>
      <c r="B14" s="4" t="n">
        <v>1.57</v>
      </c>
      <c r="C14" s="3" t="n">
        <v>2.38</v>
      </c>
      <c r="D14" s="3" t="n">
        <v>40.5633</v>
      </c>
      <c r="E14" s="3" t="n">
        <v>56.31410000001779</v>
      </c>
      <c r="F14" s="3" t="n">
        <v>38.8255</v>
      </c>
      <c r="G14" s="3" t="n">
        <v>36.4455</v>
      </c>
      <c r="H14" s="3" t="n">
        <v>0.8099999999999998</v>
      </c>
    </row>
    <row r="15">
      <c r="A15" s="3" t="inlineStr">
        <is>
          <t>S5</t>
        </is>
      </c>
      <c r="B15" s="4" t="n">
        <v>1.27</v>
      </c>
      <c r="C15" s="3" t="n">
        <v>2.9</v>
      </c>
      <c r="D15" s="3" t="n">
        <v>42.2867</v>
      </c>
      <c r="E15" s="3" t="n">
        <v>47.0512999999919</v>
      </c>
      <c r="F15" s="3" t="n">
        <v>38.78</v>
      </c>
      <c r="G15" s="3" t="n">
        <v>35.88</v>
      </c>
      <c r="H15" s="3" t="n">
        <v>1.63</v>
      </c>
    </row>
    <row r="16">
      <c r="A16" s="3" t="inlineStr">
        <is>
          <t>S21</t>
        </is>
      </c>
      <c r="B16" s="3" t="n">
        <v/>
      </c>
      <c r="C16" s="3" t="n">
        <v>1.81</v>
      </c>
      <c r="D16" s="3" t="n">
        <v>42.433</v>
      </c>
      <c r="E16" s="3" t="n">
        <v>40.04300000000512</v>
      </c>
      <c r="F16" s="3" t="n">
        <v>38.78</v>
      </c>
      <c r="G16" s="3" t="n">
        <v>36.97</v>
      </c>
      <c r="H16" s="3" t="n">
        <v>0</v>
      </c>
    </row>
    <row r="17">
      <c r="A17" s="3" t="inlineStr">
        <is>
          <t>S10</t>
        </is>
      </c>
      <c r="B17" s="3" t="n">
        <v/>
      </c>
      <c r="C17" s="3" t="n">
        <v>1.63</v>
      </c>
      <c r="D17" s="3" t="n">
        <v>42.4892</v>
      </c>
      <c r="E17" s="3" t="n">
        <v>75.77360000001499</v>
      </c>
      <c r="F17" s="3" t="n">
        <v>39.0175</v>
      </c>
      <c r="G17" s="3" t="n">
        <v>37.3875</v>
      </c>
      <c r="H17" s="3" t="n">
        <v>0</v>
      </c>
    </row>
    <row r="18">
      <c r="A18" s="3" t="inlineStr">
        <is>
          <t>S11</t>
        </is>
      </c>
      <c r="B18" s="3" t="n">
        <v/>
      </c>
      <c r="C18" s="3" t="n">
        <v>1.64</v>
      </c>
      <c r="D18" s="3" t="n">
        <v>48.0134</v>
      </c>
      <c r="E18" s="3" t="n">
        <v>68.88050000002841</v>
      </c>
      <c r="F18" s="3" t="n">
        <v>39.0175</v>
      </c>
      <c r="G18" s="3" t="n">
        <v>37.3775</v>
      </c>
      <c r="H18" s="3" t="n">
        <v>0</v>
      </c>
    </row>
    <row r="19">
      <c r="A19" s="3" t="inlineStr">
        <is>
          <t>S16</t>
        </is>
      </c>
      <c r="B19" s="3" t="n">
        <v/>
      </c>
      <c r="C19" s="3" t="n">
        <v>1.66</v>
      </c>
      <c r="D19" s="3" t="n">
        <v>52.3324</v>
      </c>
      <c r="E19" s="3" t="n">
        <v>63.29119999997783</v>
      </c>
      <c r="F19" s="3" t="n">
        <v>39.0175</v>
      </c>
      <c r="G19" s="3" t="n">
        <v>37.3575</v>
      </c>
      <c r="H19" s="3" t="n">
        <v>0</v>
      </c>
    </row>
    <row r="20">
      <c r="A20" s="3" t="inlineStr">
        <is>
          <t>S18</t>
        </is>
      </c>
      <c r="B20" s="3" t="n">
        <v/>
      </c>
      <c r="C20" s="3" t="n">
        <v>1.72</v>
      </c>
      <c r="D20" s="3" t="n">
        <v>52.6038</v>
      </c>
      <c r="E20" s="3" t="n">
        <v>40.7612000000081</v>
      </c>
      <c r="F20" s="3" t="n">
        <v>38.812</v>
      </c>
      <c r="G20" s="3" t="n">
        <v>37.092</v>
      </c>
      <c r="H20" s="3" t="n">
        <v>0</v>
      </c>
    </row>
    <row r="21">
      <c r="A21" s="3" t="inlineStr">
        <is>
          <t>S18B</t>
        </is>
      </c>
      <c r="B21" s="3" t="n">
        <v/>
      </c>
      <c r="C21" s="3" t="n">
        <v>1.51</v>
      </c>
      <c r="D21" s="3" t="n">
        <v>52.6038</v>
      </c>
      <c r="E21" s="3" t="n">
        <v>40.7612000000081</v>
      </c>
      <c r="F21" s="3" t="n">
        <v>38.812</v>
      </c>
      <c r="G21" s="3" t="n">
        <v>37.302</v>
      </c>
      <c r="H21" s="3" t="n">
        <v>0</v>
      </c>
    </row>
    <row r="22">
      <c r="A22" s="3" t="inlineStr">
        <is>
          <t>S1</t>
        </is>
      </c>
      <c r="B22" s="3" t="n">
        <v/>
      </c>
      <c r="C22" s="3" t="n">
        <v>0.42</v>
      </c>
      <c r="D22" s="3" t="n">
        <v>65.715</v>
      </c>
      <c r="E22" s="3" t="n">
        <v>174.8369999999995</v>
      </c>
      <c r="F22" s="3" t="n">
        <v>39.4</v>
      </c>
      <c r="G22" s="3" t="n">
        <v>38.98</v>
      </c>
      <c r="H22" s="3" t="n">
        <v>0</v>
      </c>
    </row>
    <row r="23">
      <c r="A23" s="3" t="inlineStr">
        <is>
          <t>S20</t>
        </is>
      </c>
      <c r="B23" s="3" t="n">
        <v/>
      </c>
      <c r="C23" s="3" t="n">
        <v>2.58</v>
      </c>
      <c r="D23" s="3" t="n">
        <v>67.7547</v>
      </c>
      <c r="E23" s="3" t="n">
        <v>35.18030000000726</v>
      </c>
      <c r="F23" s="3" t="n">
        <v>39.0175</v>
      </c>
      <c r="G23" s="3" t="n">
        <v>36.4375</v>
      </c>
      <c r="H23" s="3" t="n">
        <v>0</v>
      </c>
    </row>
    <row r="24">
      <c r="A24" s="3" t="inlineStr">
        <is>
          <t>S13</t>
        </is>
      </c>
      <c r="B24" s="3" t="n">
        <v/>
      </c>
      <c r="C24" s="3" t="n">
        <v>1.22</v>
      </c>
      <c r="D24" s="3" t="n">
        <v>69.6259</v>
      </c>
      <c r="E24" s="3" t="n">
        <v>57.54409999999916</v>
      </c>
      <c r="F24" s="3" t="n">
        <v>39.0175</v>
      </c>
      <c r="G24" s="3" t="n">
        <v>37.7975</v>
      </c>
      <c r="H24" s="3" t="n">
        <v>0</v>
      </c>
    </row>
    <row r="25">
      <c r="A25" s="3" t="inlineStr">
        <is>
          <t>S3</t>
        </is>
      </c>
      <c r="B25" s="3" t="n">
        <v/>
      </c>
      <c r="C25" s="3" t="n">
        <v>0.91</v>
      </c>
      <c r="D25" s="3" t="n">
        <v>75.19670000000001</v>
      </c>
      <c r="E25" s="3" t="n">
        <v>92.02210000000196</v>
      </c>
      <c r="F25" s="3" t="n">
        <v>38.95</v>
      </c>
      <c r="G25" s="3" t="n">
        <v>38.04000000000001</v>
      </c>
      <c r="H25" s="3" t="n">
        <v>0</v>
      </c>
    </row>
    <row r="26">
      <c r="A26" s="3" t="inlineStr">
        <is>
          <t>S4</t>
        </is>
      </c>
      <c r="B26" s="3" t="n">
        <v/>
      </c>
      <c r="C26" s="3" t="n">
        <v>1.61</v>
      </c>
      <c r="D26" s="3" t="n">
        <v>75.33329999999999</v>
      </c>
      <c r="E26" s="3" t="n">
        <v>49.78659999999218</v>
      </c>
      <c r="F26" s="3" t="n">
        <v>39.02</v>
      </c>
      <c r="G26" s="3" t="n">
        <v>37.41</v>
      </c>
      <c r="H26" s="3" t="n">
        <v>0</v>
      </c>
    </row>
    <row r="27">
      <c r="A27" s="3" t="inlineStr">
        <is>
          <t>S19</t>
        </is>
      </c>
      <c r="B27" s="3" t="n">
        <v/>
      </c>
      <c r="C27" s="3" t="n">
        <v>2.59</v>
      </c>
      <c r="D27" s="3" t="n">
        <v>76.32599999999999</v>
      </c>
      <c r="E27" s="3" t="n">
        <v>34.81339999998454</v>
      </c>
      <c r="F27" s="3" t="n">
        <v>39.0175</v>
      </c>
      <c r="G27" s="3" t="n">
        <v>36.42749999999999</v>
      </c>
      <c r="H27" s="3" t="n">
        <v>0</v>
      </c>
    </row>
    <row r="28">
      <c r="A28" s="3" t="inlineStr">
        <is>
          <t>S9</t>
        </is>
      </c>
      <c r="B28" s="3" t="n">
        <v/>
      </c>
      <c r="C28" s="3" t="n">
        <v>1.04</v>
      </c>
      <c r="D28" s="3" t="n">
        <v>76.6114</v>
      </c>
      <c r="E28" s="3" t="n">
        <v>68.56550000002608</v>
      </c>
      <c r="F28" s="3" t="n">
        <v>39.0175</v>
      </c>
      <c r="G28" s="3" t="n">
        <v>37.9775</v>
      </c>
      <c r="H28" s="3" t="n">
        <v>0</v>
      </c>
    </row>
    <row r="29">
      <c r="A29" s="3" t="inlineStr">
        <is>
          <t>S14</t>
        </is>
      </c>
      <c r="B29" s="3" t="n">
        <v/>
      </c>
      <c r="C29" s="3" t="n">
        <v>1.59</v>
      </c>
      <c r="D29" s="3" t="n">
        <v>79.42959999999999</v>
      </c>
      <c r="E29" s="3" t="n">
        <v>56.37219999998342</v>
      </c>
      <c r="F29" s="3" t="n">
        <v>39.0175</v>
      </c>
      <c r="G29" s="3" t="n">
        <v>37.42749999999999</v>
      </c>
      <c r="H29" s="3" t="n">
        <v>0</v>
      </c>
    </row>
    <row r="30">
      <c r="A30" s="3" t="inlineStr">
        <is>
          <t>S6</t>
        </is>
      </c>
      <c r="B30" s="3" t="n">
        <v/>
      </c>
      <c r="C30" s="3" t="n">
        <v>1.19</v>
      </c>
      <c r="D30" s="3" t="n">
        <v>81.34699999999999</v>
      </c>
      <c r="E30" s="3" t="n">
        <v>80.38799999997718</v>
      </c>
      <c r="F30" s="3" t="n">
        <v>38.86</v>
      </c>
      <c r="G30" s="3" t="n">
        <v>37.67</v>
      </c>
      <c r="H30" s="3" t="n">
        <v>0</v>
      </c>
    </row>
    <row r="31">
      <c r="A31" s="3" t="inlineStr">
        <is>
          <t>S15</t>
        </is>
      </c>
      <c r="B31" s="3" t="n">
        <v/>
      </c>
      <c r="C31" s="3" t="n">
        <v>2.16</v>
      </c>
      <c r="D31" s="3" t="n">
        <v>82.0641</v>
      </c>
      <c r="E31" s="3" t="n">
        <v>52.37420000002021</v>
      </c>
      <c r="F31" s="3" t="n">
        <v>39.0175</v>
      </c>
      <c r="G31" s="3" t="n">
        <v>36.8575</v>
      </c>
      <c r="H31" s="3" t="n">
        <v>0</v>
      </c>
    </row>
    <row r="32">
      <c r="A32" s="3" t="inlineStr">
        <is>
          <t>S7</t>
        </is>
      </c>
      <c r="B32" s="3" t="n">
        <v/>
      </c>
      <c r="C32" s="3" t="n">
        <v>1.44</v>
      </c>
      <c r="D32" s="3" t="n">
        <v>82.5535</v>
      </c>
      <c r="E32" s="3" t="n">
        <v>67.64490000001388</v>
      </c>
      <c r="F32" s="3" t="n">
        <v>39.0175</v>
      </c>
      <c r="G32" s="3" t="n">
        <v>37.5775</v>
      </c>
      <c r="H32" s="3" t="n">
        <v>0</v>
      </c>
    </row>
    <row r="33">
      <c r="A33" s="3" t="inlineStr">
        <is>
          <t>S8</t>
        </is>
      </c>
      <c r="B33" s="3" t="n">
        <v/>
      </c>
      <c r="C33" s="3" t="n">
        <v>1.11</v>
      </c>
      <c r="D33" s="3" t="n">
        <v>91.622</v>
      </c>
      <c r="E33" s="3" t="n">
        <v>63.13900000002468</v>
      </c>
      <c r="F33" s="3" t="n">
        <v>38.779</v>
      </c>
      <c r="G33" s="3" t="n">
        <v>37.669</v>
      </c>
      <c r="H33" s="3" t="n">
        <v>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  <col width="50" customWidth="1" min="4" max="4"/>
  </cols>
  <sheetData>
    <row r="1">
      <c r="A1" s="1" t="inlineStr">
        <is>
          <t>KEY CONTAMINATION FINDINGS</t>
        </is>
      </c>
    </row>
    <row r="3">
      <c r="A3" t="inlineStr"/>
      <c r="B3" t="inlineStr"/>
      <c r="C3" t="inlineStr"/>
      <c r="D3" t="inlineStr"/>
    </row>
    <row r="4">
      <c r="A4" s="5" t="inlineStr">
        <is>
          <t>Finding</t>
        </is>
      </c>
      <c r="B4" s="5" t="inlineStr">
        <is>
          <t>Value</t>
        </is>
      </c>
      <c r="C4" s="5" t="inlineStr">
        <is>
          <t>Location</t>
        </is>
      </c>
      <c r="D4" s="5" t="inlineStr">
        <is>
          <t>Significance</t>
        </is>
      </c>
    </row>
    <row r="5">
      <c r="A5" t="inlineStr">
        <is>
          <t>NAPL Present</t>
        </is>
      </c>
      <c r="B5" t="inlineStr">
        <is>
          <t>Yes (2 wells)</t>
        </is>
      </c>
      <c r="C5" t="inlineStr">
        <is>
          <t>BHS17, BHS5</t>
        </is>
      </c>
      <c r="D5" t="inlineStr">
        <is>
          <t>Long-term source - requires removal/treatment</t>
        </is>
      </c>
    </row>
    <row r="6">
      <c r="A6" t="inlineStr">
        <is>
          <t>Max TCE (soil)</t>
        </is>
      </c>
      <c r="B6" t="inlineStr">
        <is>
          <t>961 µg/kg</t>
        </is>
      </c>
      <c r="C6" t="inlineStr">
        <is>
          <t>Multiple locations</t>
        </is>
      </c>
      <c r="D6" t="inlineStr">
        <is>
          <t>Exceeds residential screening levels</t>
        </is>
      </c>
    </row>
    <row r="7">
      <c r="A7" t="inlineStr">
        <is>
          <t>Max cis-DCE (soil)</t>
        </is>
      </c>
      <c r="B7" t="inlineStr">
        <is>
          <t>3,548 µg/kg</t>
        </is>
      </c>
      <c r="C7" t="inlineStr">
        <is>
          <t>Multiple locations</t>
        </is>
      </c>
      <c r="D7" t="inlineStr">
        <is>
          <t>Degradation product - indicates biodegradation</t>
        </is>
      </c>
    </row>
    <row r="8">
      <c r="A8" t="inlineStr">
        <is>
          <t>Max Vinyl Chloride (soil)</t>
        </is>
      </c>
      <c r="B8" t="inlineStr">
        <is>
          <t>79 µg/kg</t>
        </is>
      </c>
      <c r="C8" t="inlineStr">
        <is>
          <t>Multiple locations</t>
        </is>
      </c>
      <c r="D8" t="inlineStr">
        <is>
          <t>Highly toxic - carcinogenic</t>
        </is>
      </c>
    </row>
    <row r="9">
      <c r="A9" t="inlineStr"/>
      <c r="B9" t="inlineStr"/>
      <c r="C9" t="inlineStr"/>
      <c r="D9" t="inlineStr"/>
    </row>
    <row r="10">
      <c r="A10" t="inlineStr">
        <is>
          <t>Max TCE (groundwater)</t>
        </is>
      </c>
      <c r="B10" t="inlineStr">
        <is>
          <t>2,683 µg/L</t>
        </is>
      </c>
      <c r="C10" t="inlineStr">
        <is>
          <t>Widespread</t>
        </is>
      </c>
      <c r="D10" t="inlineStr">
        <is>
          <t>Exceeds drinking water standards (5 µg/L)</t>
        </is>
      </c>
    </row>
    <row r="11">
      <c r="A11" t="inlineStr">
        <is>
          <t>Max cis-DCE (groundwater)</t>
        </is>
      </c>
      <c r="B11" t="inlineStr">
        <is>
          <t>3,511 µg/L</t>
        </is>
      </c>
      <c r="C11" t="inlineStr">
        <is>
          <t>Widespread</t>
        </is>
      </c>
      <c r="D11" t="inlineStr">
        <is>
          <t>Exceeds drinking water standards (70 µg/L)</t>
        </is>
      </c>
    </row>
    <row r="12">
      <c r="A12" t="inlineStr">
        <is>
          <t>Max Vinyl Chloride (GW)</t>
        </is>
      </c>
      <c r="B12" t="inlineStr">
        <is>
          <t>328.9 µg/L</t>
        </is>
      </c>
      <c r="C12" t="inlineStr">
        <is>
          <t>Widespread</t>
        </is>
      </c>
      <c r="D12" t="inlineStr">
        <is>
          <t>Exceeds drinking water standards (0.5 µg/L)</t>
        </is>
      </c>
    </row>
    <row r="13">
      <c r="A13" t="inlineStr"/>
      <c r="B13" t="inlineStr"/>
      <c r="C13" t="inlineStr"/>
      <c r="D13" t="inlineStr"/>
    </row>
    <row r="14">
      <c r="A14" t="inlineStr">
        <is>
          <t>Groundwater Flow</t>
        </is>
      </c>
      <c r="B14" t="inlineStr">
        <is>
          <t>N→S</t>
        </is>
      </c>
      <c r="C14" t="inlineStr">
        <is>
          <t>From S1 to S5</t>
        </is>
      </c>
      <c r="D14" t="inlineStr">
        <is>
          <t>Toward nature reserve - critical receptor</t>
        </is>
      </c>
    </row>
    <row r="15">
      <c r="A15" t="inlineStr">
        <is>
          <t>Hydraulic Gradient</t>
        </is>
      </c>
      <c r="B15" t="inlineStr">
        <is>
          <t>2.39%</t>
        </is>
      </c>
      <c r="C15" t="inlineStr">
        <is>
          <t>Site-wide</t>
        </is>
      </c>
      <c r="D15" t="inlineStr">
        <is>
          <t>Moderate gradient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CONTAMINATION vs SCREENING CRITERIA</t>
        </is>
      </c>
    </row>
    <row r="5">
      <c r="A5" s="6" t="inlineStr">
        <is>
          <t>Contaminant</t>
        </is>
      </c>
      <c r="B5" s="6" t="inlineStr">
        <is>
          <t>Medium</t>
        </is>
      </c>
      <c r="C5" s="6" t="inlineStr">
        <is>
          <t>Max Detected</t>
        </is>
      </c>
      <c r="D5" s="6" t="inlineStr">
        <is>
          <t>Units</t>
        </is>
      </c>
      <c r="E5" s="6" t="inlineStr">
        <is>
          <t>Screening Criterion</t>
        </is>
      </c>
      <c r="F5" s="6" t="inlineStr">
        <is>
          <t>Source/Reference</t>
        </is>
      </c>
      <c r="G5" s="6" t="inlineStr">
        <is>
          <t>Exceedance Ratio</t>
        </is>
      </c>
      <c r="H5" s="6" t="inlineStr">
        <is>
          <t>Risk Category</t>
        </is>
      </c>
    </row>
    <row r="6">
      <c r="A6" t="inlineStr">
        <is>
          <t>Trichloroethene</t>
        </is>
      </c>
      <c r="B6" t="inlineStr">
        <is>
          <t>Soil</t>
        </is>
      </c>
      <c r="C6" t="n">
        <v>961</v>
      </c>
      <c r="D6" t="inlineStr">
        <is>
          <t>µg/kg</t>
        </is>
      </c>
      <c r="E6" t="inlineStr"/>
      <c r="F6" t="inlineStr">
        <is>
          <t>C4SL Residential</t>
        </is>
      </c>
      <c r="G6">
        <f>C6/E6</f>
        <v/>
      </c>
      <c r="H6">
        <f>IF(G6&gt;1,"EXCEEDED","OK")</f>
        <v/>
      </c>
    </row>
    <row r="7">
      <c r="A7" t="inlineStr">
        <is>
          <t>cis-1,2-DCE</t>
        </is>
      </c>
      <c r="B7" t="inlineStr">
        <is>
          <t>Soil</t>
        </is>
      </c>
      <c r="C7" t="n">
        <v>3548</v>
      </c>
      <c r="D7" t="inlineStr">
        <is>
          <t>µg/kg</t>
        </is>
      </c>
      <c r="E7" t="inlineStr"/>
      <c r="F7" t="inlineStr">
        <is>
          <t>C4SL Residential</t>
        </is>
      </c>
      <c r="G7">
        <f>C7/E7</f>
        <v/>
      </c>
      <c r="H7">
        <f>IF(G7&gt;1,"EXCEEDED","OK")</f>
        <v/>
      </c>
    </row>
    <row r="8">
      <c r="A8" t="inlineStr">
        <is>
          <t>Vinyl Chloride</t>
        </is>
      </c>
      <c r="B8" t="inlineStr">
        <is>
          <t>Soil</t>
        </is>
      </c>
      <c r="C8" t="n">
        <v>79</v>
      </c>
      <c r="D8" t="inlineStr">
        <is>
          <t>µg/kg</t>
        </is>
      </c>
      <c r="E8" t="inlineStr"/>
      <c r="F8" t="inlineStr">
        <is>
          <t>C4SL Residential</t>
        </is>
      </c>
      <c r="G8">
        <f>C8/E8</f>
        <v/>
      </c>
      <c r="H8">
        <f>IF(G8&gt;1,"EXCEEDED","OK")</f>
        <v/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Trichloroethene</t>
        </is>
      </c>
      <c r="B10" t="inlineStr">
        <is>
          <t>Groundwater</t>
        </is>
      </c>
      <c r="C10" t="n">
        <v>2683</v>
      </c>
      <c r="D10" t="inlineStr">
        <is>
          <t>µg/L</t>
        </is>
      </c>
      <c r="E10" t="n">
        <v>5</v>
      </c>
      <c r="F10" t="inlineStr">
        <is>
          <t>DWS (MCL)</t>
        </is>
      </c>
      <c r="G10">
        <f>C10/E10</f>
        <v/>
      </c>
      <c r="H10">
        <f>IF(G10&gt;1,"EXCEEDED","OK")</f>
        <v/>
      </c>
    </row>
    <row r="11">
      <c r="A11" t="inlineStr">
        <is>
          <t>cis-1,2-DCE</t>
        </is>
      </c>
      <c r="B11" t="inlineStr">
        <is>
          <t>Groundwater</t>
        </is>
      </c>
      <c r="C11" t="n">
        <v>3511</v>
      </c>
      <c r="D11" t="inlineStr">
        <is>
          <t>µg/L</t>
        </is>
      </c>
      <c r="E11" t="n">
        <v>70</v>
      </c>
      <c r="F11" t="inlineStr">
        <is>
          <t>DWS (MCL)</t>
        </is>
      </c>
      <c r="G11">
        <f>C11/E11</f>
        <v/>
      </c>
      <c r="H11">
        <f>IF(G11&gt;1,"EXCEEDED","OK")</f>
        <v/>
      </c>
    </row>
    <row r="12">
      <c r="A12" t="inlineStr">
        <is>
          <t>Vinyl Chloride</t>
        </is>
      </c>
      <c r="B12" t="inlineStr">
        <is>
          <t>Groundwater</t>
        </is>
      </c>
      <c r="C12" t="n">
        <v>328.9</v>
      </c>
      <c r="D12" t="inlineStr">
        <is>
          <t>µg/L</t>
        </is>
      </c>
      <c r="E12" t="n">
        <v>0.5</v>
      </c>
      <c r="F12" t="inlineStr">
        <is>
          <t>DWS (MCL)</t>
        </is>
      </c>
      <c r="G12">
        <f>C12/E12</f>
        <v/>
      </c>
      <c r="H12">
        <f>IF(G12&gt;1,"EXCEEDED","OK")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REMEDIATION STRATEGY COMPARISON MATRIX</t>
        </is>
      </c>
    </row>
    <row r="5">
      <c r="A5" s="6" t="inlineStr">
        <is>
          <t>Criterion</t>
        </is>
      </c>
      <c r="B5" s="6" t="inlineStr">
        <is>
          <t>Weight</t>
        </is>
      </c>
      <c r="C5" s="6" t="inlineStr">
        <is>
          <t>Strategy A</t>
        </is>
      </c>
      <c r="D5" s="6" t="inlineStr">
        <is>
          <t>Strategy B</t>
        </is>
      </c>
      <c r="E5" s="6" t="inlineStr">
        <is>
          <t>Strategy C</t>
        </is>
      </c>
      <c r="F5" s="6" t="inlineStr">
        <is>
          <t>Scoring Guide</t>
        </is>
      </c>
    </row>
    <row r="6">
      <c r="A6" t="inlineStr">
        <is>
          <t>COST (Capital)</t>
        </is>
      </c>
      <c r="B6" t="n">
        <v>0.25</v>
      </c>
      <c r="C6" t="inlineStr"/>
      <c r="D6" t="inlineStr"/>
      <c r="E6" t="inlineStr"/>
      <c r="F6" t="inlineStr">
        <is>
          <t>1=Very High (&gt;£2M), 5=Low (&lt;£250k)</t>
        </is>
      </c>
    </row>
    <row r="7">
      <c r="A7" t="inlineStr">
        <is>
          <t>COST (Operating)</t>
        </is>
      </c>
      <c r="B7" t="n">
        <v>0.15</v>
      </c>
      <c r="C7" t="inlineStr"/>
      <c r="D7" t="inlineStr"/>
      <c r="E7" t="inlineStr"/>
      <c r="F7" t="inlineStr">
        <is>
          <t>1=High ongoing, 5=Minimal</t>
        </is>
      </c>
    </row>
    <row r="8">
      <c r="A8" t="inlineStr">
        <is>
          <t>TIME (Implementation)</t>
        </is>
      </c>
      <c r="B8" t="n">
        <v>0.2</v>
      </c>
      <c r="C8" t="inlineStr"/>
      <c r="D8" t="inlineStr"/>
      <c r="E8" t="inlineStr"/>
      <c r="F8" t="inlineStr">
        <is>
          <t>1=Years, 5=Months</t>
        </is>
      </c>
    </row>
    <row r="9">
      <c r="A9" t="inlineStr">
        <is>
          <t>TIME (To achieve goals)</t>
        </is>
      </c>
      <c r="B9" t="n">
        <v>0.1</v>
      </c>
      <c r="C9" t="inlineStr"/>
      <c r="D9" t="inlineStr"/>
      <c r="E9" t="inlineStr"/>
      <c r="F9" t="inlineStr">
        <is>
          <t>1=&gt;5 years, 5=&lt;1 year</t>
        </is>
      </c>
    </row>
    <row r="10">
      <c r="A10" t="inlineStr">
        <is>
          <t>SUSTAINABILITY (Energy)</t>
        </is>
      </c>
      <c r="B10" t="n">
        <v>0.1</v>
      </c>
      <c r="C10" t="inlineStr"/>
      <c r="D10" t="inlineStr"/>
      <c r="E10" t="inlineStr"/>
      <c r="F10" t="inlineStr">
        <is>
          <t>1=High energy, 5=Passive/low</t>
        </is>
      </c>
    </row>
    <row r="11">
      <c r="A11" t="inlineStr">
        <is>
          <t>SUSTAINABILITY (Carbon)</t>
        </is>
      </c>
      <c r="B11" t="n">
        <v>0.05</v>
      </c>
      <c r="C11" t="inlineStr"/>
      <c r="D11" t="inlineStr"/>
      <c r="E11" t="inlineStr"/>
      <c r="F11" t="inlineStr">
        <is>
          <t>1=High emissions, 5=Low</t>
        </is>
      </c>
    </row>
    <row r="12">
      <c r="A12" t="inlineStr">
        <is>
          <t>STAKEHOLDER (Disruption)</t>
        </is>
      </c>
      <c r="B12" t="n">
        <v>0.1</v>
      </c>
      <c r="C12" t="inlineStr"/>
      <c r="D12" t="inlineStr"/>
      <c r="E12" t="inlineStr"/>
      <c r="F12" t="inlineStr">
        <is>
          <t>1=Major disruption, 5=Minimal</t>
        </is>
      </c>
    </row>
    <row r="13">
      <c r="A13" t="inlineStr">
        <is>
          <t>STAKEHOLDER (Acceptance)</t>
        </is>
      </c>
      <c r="B13" t="n">
        <v>0.05</v>
      </c>
      <c r="C13" t="inlineStr"/>
      <c r="D13" t="inlineStr"/>
      <c r="E13" t="inlineStr"/>
      <c r="F13" t="inlineStr">
        <is>
          <t>1=Community concerns, 5=Acceptable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s="5" t="inlineStr">
        <is>
          <t>TOTAL SCORE</t>
        </is>
      </c>
      <c r="B15" s="5" t="n">
        <v>1</v>
      </c>
      <c r="C15" s="5">
        <f>C6*$B6+C7*$B7+C8*$B8+C9*$B9+C10*$B10+C11*$B11+C12*$B12+C13*$B13</f>
        <v/>
      </c>
      <c r="D15" s="5">
        <f>D6*$B6+D7*$B7+D8*$B8+D9*$B9+D10*$B10+D11*$B11+D12*$B12+D13*$B13</f>
        <v/>
      </c>
      <c r="E15" s="5">
        <f>E6*$B6+E7*$B7+E8*$B8+E9*$B9+E10*$B10+E11*$B11+E12*$B12+E13*$B13</f>
        <v/>
      </c>
      <c r="F1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2026-04-13T14:14:55Z</dcterms:created>
  <dcterms:modified xmlns:dcterms="http://purl.org/dc/terms/" xmlns:xsi="http://www.w3.org/2001/XMLSchema-instance" xsi:type="dcterms:W3CDTF">2026-04-13T14:14:55Z</dcterms:modified>
</cp:coreProperties>
</file>